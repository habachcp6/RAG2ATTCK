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Roadmap" sheetId="2" r:id="rId6"/>
    <sheet state="visible" name="RQ_Experiments" sheetId="3" r:id="rId7"/>
    <sheet state="visible" name="Resources" sheetId="4" r:id="rId8"/>
  </sheets>
  <definedNames/>
  <calcPr/>
</workbook>
</file>

<file path=xl/sharedStrings.xml><?xml version="1.0" encoding="utf-8"?>
<sst xmlns="http://schemas.openxmlformats.org/spreadsheetml/2006/main" count="654" uniqueCount="390">
  <si>
    <t>Replication-and-Extension Research Questions → Experimental Design</t>
  </si>
  <si>
    <t>RQ</t>
  </si>
  <si>
    <t>Research Question</t>
  </si>
  <si>
    <t>Hypothesis</t>
  </si>
  <si>
    <t>Independent Variable</t>
  </si>
  <si>
    <t>Dependent Variable</t>
  </si>
  <si>
    <t>Conditions</t>
  </si>
  <si>
    <t>Metrics</t>
  </si>
  <si>
    <t>Required Output</t>
  </si>
  <si>
    <t>Decision Rule</t>
  </si>
  <si>
    <t>RQ1</t>
  </si>
  <si>
    <t>How does MITRE ATT&amp;CK-grounded RAG affect exact ATT&amp;CK technique/sub-technique attribution accuracy from Windows endpoint logs compared with the same LLM without retrieval?</t>
  </si>
  <si>
    <t>H1: Macro-F1(RAG) &gt; Macro-F1(No-RAG)</t>
  </si>
  <si>
    <t>RAG condition</t>
  </si>
  <si>
    <t>Exact mapping quality</t>
  </si>
  <si>
    <t>No-RAG; RAG k=1/3/5/10</t>
  </si>
  <si>
    <t>Accuracy; Macro-F1; per-class P/R; invalid-ID rate</t>
  </si>
  <si>
    <t>Controlled comparison + per-class errors</t>
  </si>
  <si>
    <t>Replication may confirm, weaken or contradict prior RAG gains.</t>
  </si>
  <si>
    <t>RQ2</t>
  </si>
  <si>
    <t>How does retrieval success/quality affect end-to-end ATT&amp;CK technique attribution accuracy?</t>
  </si>
  <si>
    <t>H2: Final correctness is higher when ground-truth technique is present in retrieved Top-k</t>
  </si>
  <si>
    <t>GT present in Top-k / retrieval rank</t>
  </si>
  <si>
    <t>Final prediction correctness</t>
  </si>
  <si>
    <t>RAG k=1/3/5/10</t>
  </si>
  <si>
    <t>Recall@k; conditional accuracy; retrieval-failure vs LLM-failure counts</t>
  </si>
  <si>
    <t>Retrieval→generation decomposition</t>
  </si>
  <si>
    <t>Main extension: diagnose where RAG fails in Windows endpoint setting.</t>
  </si>
  <si>
    <t>RQ3</t>
  </si>
  <si>
    <t>How does retrieval depth k affect accuracy, latency, and token usage?</t>
  </si>
  <si>
    <t>H3: Intermediate k may give best accuracy-cost trade-off</t>
  </si>
  <si>
    <t>Retrieval depth k</t>
  </si>
  <si>
    <t>Accuracy + tokens + latency</t>
  </si>
  <si>
    <t>k=1,3,5,10</t>
  </si>
  <si>
    <t>Macro-F1; Accuracy; tokens; latency</t>
  </si>
  <si>
    <t>Top-k ablation table/plot</t>
  </si>
  <si>
    <t>Ablation/diagnostic, not an independent novelty claim.</t>
  </si>
  <si>
    <t>8-Week Roadmap — Replication-and-Extension Study</t>
  </si>
  <si>
    <t>Phase</t>
  </si>
  <si>
    <t>Resources, Prior Work &amp; Reuse Plan — Latest Framing</t>
  </si>
  <si>
    <t>Week</t>
  </si>
  <si>
    <t>Date Range</t>
  </si>
  <si>
    <t>Category</t>
  </si>
  <si>
    <t>Task ID</t>
  </si>
  <si>
    <t>Task</t>
  </si>
  <si>
    <t>Objective / Acceptance Criteria</t>
  </si>
  <si>
    <t>Owner</t>
  </si>
  <si>
    <t>Resource</t>
  </si>
  <si>
    <t>Priority</t>
  </si>
  <si>
    <t>Role</t>
  </si>
  <si>
    <t>Dependency</t>
  </si>
  <si>
    <t>Reuse / Build</t>
  </si>
  <si>
    <t>Deliverable</t>
  </si>
  <si>
    <t>Status</t>
  </si>
  <si>
    <t>User Action</t>
  </si>
  <si>
    <t>Source / DOI</t>
  </si>
  <si>
    <t>Notes</t>
  </si>
  <si>
    <t>Progress %</t>
  </si>
  <si>
    <t>Literature &amp; Scope</t>
  </si>
  <si>
    <t>W1</t>
  </si>
  <si>
    <t>Knowledge</t>
  </si>
  <si>
    <t>15–21 Sep 2026</t>
  </si>
  <si>
    <t>T01</t>
  </si>
  <si>
    <t>MITRE ATT&amp;CK Enterprise STIX/JSON</t>
  </si>
  <si>
    <t>Freeze teacher-topic → research-topic framing</t>
  </si>
  <si>
    <t>Fixed RAG corpus + ID validation</t>
  </si>
  <si>
    <t>Final title states replication-and-extension; preserves teacher-assigned System Logs + AI + MITRE ATT&amp;CK scope; no novelty overclaim.</t>
  </si>
  <si>
    <t>Reuse</t>
  </si>
  <si>
    <t>Pin one release before experiment</t>
  </si>
  <si>
    <t>Critical</t>
  </si>
  <si>
    <t>https://attack.mitre.org/</t>
  </si>
  <si>
    <t>Shared</t>
  </si>
  <si>
    <t>RAG corpus is not manually authored.</t>
  </si>
  <si>
    <t>—</t>
  </si>
  <si>
    <t>Dataset</t>
  </si>
  <si>
    <t>Approved framing statement</t>
  </si>
  <si>
    <t>Windows-APT 2025 or verified equivalent</t>
  </si>
  <si>
    <t>Done</t>
  </si>
  <si>
    <t>Windows endpoint ground truth</t>
  </si>
  <si>
    <t>Verify schema/license/label leakage</t>
  </si>
  <si>
    <t>https://doi.org/10.1016/j.dib.2026.112569</t>
  </si>
  <si>
    <t>T02</t>
  </si>
  <si>
    <t>Candidate; final choice follows field-level audit.</t>
  </si>
  <si>
    <t>Read/annotate closest comparator papers</t>
  </si>
  <si>
    <t>Read Yang &amp; Hsu, AWS-RAG, Trace2ATT&amp;CK, TechniqueRAG/H-TechniqueRAG, LADE, CAM-LDS and Okuma sufficiently to defend similarities/differences.</t>
  </si>
  <si>
    <t>User</t>
  </si>
  <si>
    <t>High</t>
  </si>
  <si>
    <t>Annotated reading notes</t>
  </si>
  <si>
    <t>Model</t>
  </si>
  <si>
    <t>In Progress</t>
  </si>
  <si>
    <t>One LLM provider/API</t>
  </si>
  <si>
    <t>Same model for all conditions</t>
  </si>
  <si>
    <t>RAG2ATT&amp;CK — Replication-and-Extension Study Project Tracker</t>
  </si>
  <si>
    <t>T03</t>
  </si>
  <si>
    <t>Finalize 3 RQs and hypotheses</t>
  </si>
  <si>
    <t>RQ1 replication; RQ2 main diagnostic extension; RQ3 Top-k ablation. Metrics mapped to each RQ.</t>
  </si>
  <si>
    <t>Project / repository name</t>
  </si>
  <si>
    <t>RAG2ATTCK</t>
  </si>
  <si>
    <t>Choose/pin provider/model/version/parameters</t>
  </si>
  <si>
    <t>RQ/Hypothesis matrix</t>
  </si>
  <si>
    <t>Teacher-assigned topic</t>
  </si>
  <si>
    <t>Provider documentation</t>
  </si>
  <si>
    <t>Trợ lý AI phân loại và ánh xạ kỹ thuật tấn công theo khung MITRE ATT&amp;CK từ log hệ thống.</t>
  </si>
  <si>
    <t>Do not benchmark multiple LLMs in main study.</t>
  </si>
  <si>
    <t>Count</t>
  </si>
  <si>
    <t>T04</t>
  </si>
  <si>
    <t>Finalize comparator/gap matrix</t>
  </si>
  <si>
    <t>Final research topic</t>
  </si>
  <si>
    <t>Comparator/gap matrix from the completed literature screening is frozen; user deep-reading/annotation continues separately under T02.</t>
  </si>
  <si>
    <t>Evaluating MITRE ATT&amp;CK-Grounded RAG for Technique Attribution from Windows Endpoint Logs: A Replication-and-Extension Study.</t>
  </si>
  <si>
    <t>Not Started</t>
  </si>
  <si>
    <t>AI</t>
  </si>
  <si>
    <t>Related Work Matrix</t>
  </si>
  <si>
    <t>Retrieval</t>
  </si>
  <si>
    <t>Embedding model + FAISS</t>
  </si>
  <si>
    <t>Data &amp; Ground Truth</t>
  </si>
  <si>
    <t>W2</t>
  </si>
  <si>
    <t>Top-k ATT&amp;CK retrieval</t>
  </si>
  <si>
    <t>22–28 Sep 2026</t>
  </si>
  <si>
    <t>T05</t>
  </si>
  <si>
    <t>Acquire public Windows ATT&amp;CK-labeled dataset</t>
  </si>
  <si>
    <t>Dataset accessible locally; source/version/license recorded. Candidate: Windows-APT 2025 or equivalent after schema verification.</t>
  </si>
  <si>
    <t>Pin embedding model/version</t>
  </si>
  <si>
    <t>Dataset snapshot + source record</t>
  </si>
  <si>
    <t>https://github.com/facebookresearch/faiss</t>
  </si>
  <si>
    <t>Top-k is retrieval depth, not LLM sampling top_k.</t>
  </si>
  <si>
    <t>T06</t>
  </si>
  <si>
    <t>Research nature</t>
  </si>
  <si>
    <t>Profile labels and evidence fields</t>
  </si>
  <si>
    <t>Controlled empirical replication + extension; not a new RAG algorithm.</t>
  </si>
  <si>
    <t>Count Technique/Sub-technique labels; inspect raw evidence and identify answer-bearing/rule-derived fields.</t>
  </si>
  <si>
    <t>Schema + class distribution report</t>
  </si>
  <si>
    <t>Evaluation</t>
  </si>
  <si>
    <t>Replication component</t>
  </si>
  <si>
    <t>Same LLM + same Windows endpoint samples: No-RAG vs ATT&amp;CK-grounded RAG.</t>
  </si>
  <si>
    <t>Blocked</t>
  </si>
  <si>
    <t>scikit-learn + evaluator</t>
  </si>
  <si>
    <t>Accuracy/Macro-F1/P/R</t>
  </si>
  <si>
    <t>Extension component</t>
  </si>
  <si>
    <t>T07</t>
  </si>
  <si>
    <t>Exact Technique/Sub-technique attribution + retrieval-success / LLM-failure decomposition.</t>
  </si>
  <si>
    <t>Freeze 8–10 technique/sub-technique subset</t>
  </si>
  <si>
    <t>Reuse + Build</t>
  </si>
  <si>
    <t>Selected labels have enough samples, defensible endpoint evidence, and manageable balance.</t>
  </si>
  <si>
    <t>None beyond environment</t>
  </si>
  <si>
    <t>Dataset scope</t>
  </si>
  <si>
    <t>8–10 techniques/sub-techniques; ~400–500 evaluation samples after leakage audit.</t>
  </si>
  <si>
    <t>Final label list</t>
  </si>
  <si>
    <t>Scope guardrail</t>
  </si>
  <si>
    <t>No fine-tuning, agent, Wazuh/SIEM integration, dashboard, knowledge graph, or custom SDK.</t>
  </si>
  <si>
    <t>https://scikit-learn.org/</t>
  </si>
  <si>
    <t>KPI</t>
  </si>
  <si>
    <t>Value</t>
  </si>
  <si>
    <t>Store raw predictions for traceability.</t>
  </si>
  <si>
    <t>T08</t>
  </si>
  <si>
    <t>Total tasks</t>
  </si>
  <si>
    <t>Build sanitizer / strict field whitelist</t>
  </si>
  <si>
    <t>No ATT&amp;CK label/tactic/rule.mitre/answer-bearing description reaches model or retriever query.</t>
  </si>
  <si>
    <t>T05;T06</t>
  </si>
  <si>
    <t>Prior work</t>
  </si>
  <si>
    <t>sanitizer.py + tests</t>
  </si>
  <si>
    <t>Completed tasks</t>
  </si>
  <si>
    <t>Yang &amp; Hsu (2026)</t>
  </si>
  <si>
    <t>Closest system/input comparator</t>
  </si>
  <si>
    <t>Read/Cite</t>
  </si>
  <si>
    <t>T09</t>
  </si>
  <si>
    <t>Read carefully</t>
  </si>
  <si>
    <t>Run leakage audit + manual spot-check</t>
  </si>
  <si>
    <t>Automated scan and manual review pass; findings documented.</t>
  </si>
  <si>
    <t>Overall progress</t>
  </si>
  <si>
    <t>https://doi.org/10.1007/978-3-032-24063-7_18</t>
  </si>
  <si>
    <t>Leakage audit log</t>
  </si>
  <si>
    <t>Windows Sysmon + RAG; malicious behavior detection focus.</t>
  </si>
  <si>
    <t>Three Research Questions</t>
  </si>
  <si>
    <t>AWS CloudTrail RAG (2026)</t>
  </si>
  <si>
    <t>T10</t>
  </si>
  <si>
    <t>Closest experimental-design comparator</t>
  </si>
  <si>
    <t>Create balanced evaluation subset</t>
  </si>
  <si>
    <t>~40–50 samples/class; exact sample IDs + seed stored; ground truth separated from model input.</t>
  </si>
  <si>
    <t>How does MITRE ATT&amp;CK-grounded RAG affect exact technique/sub-technique attribution accuracy from Windows endpoint logs compared with the same LLM without retrieval?</t>
  </si>
  <si>
    <t>Replication</t>
  </si>
  <si>
    <t>Accuracy / Macro-F1</t>
  </si>
  <si>
    <t>https://doi.org/10.32604/cmc.2026.077606</t>
  </si>
  <si>
    <t>Controlled RAG-vs-baseline ATT&amp;CK mapping on cloud telemetry.</t>
  </si>
  <si>
    <t>T07;T09</t>
  </si>
  <si>
    <t>processed evaluation file</t>
  </si>
  <si>
    <t>Main extension</t>
  </si>
  <si>
    <t>Recall@k + conditional accuracy + failure decomposition</t>
  </si>
  <si>
    <t>Trace2ATT&amp;CK (2026)</t>
  </si>
  <si>
    <t>No-RAG Baseline</t>
  </si>
  <si>
    <t>Ablation</t>
  </si>
  <si>
    <t>Telemetry + ATT&amp;CK-grounded RAG</t>
  </si>
  <si>
    <t>k = 1 / 3 / 5 / 10</t>
  </si>
  <si>
    <t>W3</t>
  </si>
  <si>
    <t>Read method/evaluation</t>
  </si>
  <si>
    <t>29 Sep–5 Oct 2026</t>
  </si>
  <si>
    <t>https://arxiv.org/abs/2609.12841</t>
  </si>
  <si>
    <t>T11</t>
  </si>
  <si>
    <t>Linux/eBPF provenance-graph setting.</t>
  </si>
  <si>
    <t>Choose and pin one LLM/API</t>
  </si>
  <si>
    <t>One provider/model/version for all conditions; settings and API access documented.</t>
  </si>
  <si>
    <t>TechniqueRAG (2025)</t>
  </si>
  <si>
    <t>ATT&amp;CK RAG + retrieval/reranking</t>
  </si>
  <si>
    <t>Model config</t>
  </si>
  <si>
    <t>Use to avoid false novelty</t>
  </si>
  <si>
    <t>https://doi.org/10.18653/v1/2025.findings-acl.1076</t>
  </si>
  <si>
    <t>CTI text; retrieval analysis already exists.</t>
  </si>
  <si>
    <t>T12</t>
  </si>
  <si>
    <t>Implement unified LLM client + output schema</t>
  </si>
  <si>
    <t>H-TechniqueRAG (2026)</t>
  </si>
  <si>
    <t>Stable JSON technique_id output; retry/errors/tokens/latency logged.</t>
  </si>
  <si>
    <t>Hierarchical ATT&amp;CK RAG + Top-k/context analysis</t>
  </si>
  <si>
    <t>Bound RQ3 novelty</t>
  </si>
  <si>
    <t>https://arxiv.org/abs/2604.14166</t>
  </si>
  <si>
    <t>llm_client.py</t>
  </si>
  <si>
    <t>CTI text, not endpoint telemetry.</t>
  </si>
  <si>
    <t>CAM-LDS (2026)</t>
  </si>
  <si>
    <t>Exact technique mapping + leakage/evaluation lessons</t>
  </si>
  <si>
    <t>T13</t>
  </si>
  <si>
    <t>Freeze baseline/base prompt</t>
  </si>
  <si>
    <t>Read methods/evaluation</t>
  </si>
  <si>
    <t>Versioned prompt requests exact Technique/Sub-technique ID; frozen before main run.</t>
  </si>
  <si>
    <t>https://doi.org/10.1007/s10207-026-01318-x</t>
  </si>
  <si>
    <t>Important anti-label-leakage comparator.</t>
  </si>
  <si>
    <t>prompt_v1</t>
  </si>
  <si>
    <t>Okuma et al. (2023)</t>
  </si>
  <si>
    <t>T14</t>
  </si>
  <si>
    <t>Windows Sysmon → ATT&amp;CK foundation</t>
  </si>
  <si>
    <t>Smoke-test synthetic Sysmon-style logs</t>
  </si>
  <si>
    <t>20–30 synthetic cases validate parser/API/output/evaluator only; not used as research evidence.</t>
  </si>
  <si>
    <t>Historical foundation</t>
  </si>
  <si>
    <t>Medium</t>
  </si>
  <si>
    <t>T12;T13</t>
  </si>
  <si>
    <t>https://doi.org/10.1109/ICSPIS60075.2023.10343783</t>
  </si>
  <si>
    <t>Smoke-test results</t>
  </si>
  <si>
    <t>Windows log-to-technique mapping is not novel itself.</t>
  </si>
  <si>
    <t>Review</t>
  </si>
  <si>
    <t>T15</t>
  </si>
  <si>
    <t>Systematic Review (2026)</t>
  </si>
  <si>
    <t>Run small real-data No-RAG pilot</t>
  </si>
  <si>
    <t>TTP extraction landscape</t>
  </si>
  <si>
    <t>20–50 sanitized real samples; inspect schema failures, mappings, cost and latency.</t>
  </si>
  <si>
    <t>Related-work framing</t>
  </si>
  <si>
    <t>https://arxiv.org/abs/2604.02377</t>
  </si>
  <si>
    <t>Useful synthesis; not sole evidence.</t>
  </si>
  <si>
    <t>T10;T13</t>
  </si>
  <si>
    <t>Pilot predictions</t>
  </si>
  <si>
    <t>Project code</t>
  </si>
  <si>
    <t>Loader + sanitizer + ATT&amp;CK loader + retriever + LLM client + evaluator</t>
  </si>
  <si>
    <t>Research prototype</t>
  </si>
  <si>
    <t>RAG Pipeline</t>
  </si>
  <si>
    <t>Build</t>
  </si>
  <si>
    <t>W4</t>
  </si>
  <si>
    <t>Run/validate; keep configs/results</t>
  </si>
  <si>
    <t>6–12 Oct 2026</t>
  </si>
  <si>
    <t>T16</t>
  </si>
  <si>
    <t>Project repository</t>
  </si>
  <si>
    <t>Pin ATT&amp;CK Enterprise release / STIX</t>
  </si>
  <si>
    <t>No custom SDK/agent/SIEM/dashboard/KG required.</t>
  </si>
  <si>
    <t>Exact release/date/source recorded; same release used for retrieval and ID validation.</t>
  </si>
  <si>
    <t>LADE (2026)</t>
  </si>
  <si>
    <t>Host-side command/script behavior → ranked ATT&amp;CK techniques</t>
  </si>
  <si>
    <t>ATT&amp;CK snapshot</t>
  </si>
  <si>
    <t>Use to bound host-telemetry / Top-k novelty</t>
  </si>
  <si>
    <t>https://doi.org/10.1007/978-3-032-32767-3_11</t>
  </si>
  <si>
    <t>Top-3/Top-10 style evaluation; not the same controlled Windows RAG-vs-No-RAG task.</t>
  </si>
  <si>
    <t>Positioning</t>
  </si>
  <si>
    <t>T17</t>
  </si>
  <si>
    <t>Primary replication anchor: AWS CloudTrail RAG (2026)</t>
  </si>
  <si>
    <t>Build Windows ATT&amp;CK technique corpus</t>
  </si>
  <si>
    <t>Fixed document fields such as technique_id/name/description/platforms; corpus definition frozen.</t>
  </si>
  <si>
    <t>Conceptual replication of treatment contrast</t>
  </si>
  <si>
    <t>Use</t>
  </si>
  <si>
    <t>Replicate No-RAG vs ATT&amp;CK-grounded RAG, not the exact original protocol</t>
  </si>
  <si>
    <t>ATT&amp;CK corpus JSON</t>
  </si>
  <si>
    <t>Closest experimental-design work; CloudTrail telemetry differs from Windows endpoint telemetry.</t>
  </si>
  <si>
    <t>Primary system comparator: Yang &amp; Hsu (2026)</t>
  </si>
  <si>
    <t>Closest Windows Sysmon + RAG architecture</t>
  </si>
  <si>
    <t>T18</t>
  </si>
  <si>
    <t>Build embedding + FAISS index</t>
  </si>
  <si>
    <t>Different target: malicious-behavior detection vs exact ATT&amp;CK Technique/Sub-technique attribution</t>
  </si>
  <si>
    <t>Local index returns ranked ATT&amp;CK candidates reproducibly.</t>
  </si>
  <si>
    <t>Nearest system-level work; not the same research output task.</t>
  </si>
  <si>
    <t>FAISS index</t>
  </si>
  <si>
    <t>Guardrail</t>
  </si>
  <si>
    <t>Canonical contribution statement</t>
  </si>
  <si>
    <t>Research positioning</t>
  </si>
  <si>
    <t>T19</t>
  </si>
  <si>
    <t>Implement RAG branch with retrieved context</t>
  </si>
  <si>
    <t>Keep in proposal/report/agent handoff</t>
  </si>
  <si>
    <t>Same base prompt/model/schema; only ATT&amp;CK retrieved context differs.</t>
  </si>
  <si>
    <t>Project decision</t>
  </si>
  <si>
    <t>T18;T13</t>
  </si>
  <si>
    <t>Novelty/value is not Windows, RAG, ATT&amp;CK, or Top-k individually; it is the controlled conceptual replication in a Windows exact-technique setting plus retrieval-vs-LLM failure decomposition.</t>
  </si>
  <si>
    <t>rag_pipeline.py</t>
  </si>
  <si>
    <t>Handoff</t>
  </si>
  <si>
    <t>Source-of-truth rule</t>
  </si>
  <si>
    <t>T20</t>
  </si>
  <si>
    <t>Context continuity</t>
  </si>
  <si>
    <t>Implement retrieval diagnostics</t>
  </si>
  <si>
    <t>Record ranks and whether ground truth appears in Top-1/3/5/10; compute Recall@k.</t>
  </si>
  <si>
    <t>Sheet = project status; Doc = methodology/gap; Doc Section 14 overrides stale framing</t>
  </si>
  <si>
    <t>T18;T10</t>
  </si>
  <si>
    <t>Retriever diagnostics report</t>
  </si>
  <si>
    <t>Google Drive context package</t>
  </si>
  <si>
    <t>If task status differs, follow the Sheet; if methodological framing differs, follow Doc Section 14.</t>
  </si>
  <si>
    <t>Main Experiments</t>
  </si>
  <si>
    <t>W5</t>
  </si>
  <si>
    <t>13–19 Oct 2026</t>
  </si>
  <si>
    <t>T21</t>
  </si>
  <si>
    <t>Freeze experimental protocol</t>
  </si>
  <si>
    <t>Dataset IDs, model/version, prompts, ATT&amp;CK release, embedding model, k, seed, retry/logging locked.</t>
  </si>
  <si>
    <t>T15;T20</t>
  </si>
  <si>
    <t>experiment_config.yaml/json</t>
  </si>
  <si>
    <t>T22</t>
  </si>
  <si>
    <t>Run No-RAG full evaluation</t>
  </si>
  <si>
    <t>Cache raw response, parsed prediction, tokens, latency and error status for each sample.</t>
  </si>
  <si>
    <t>no_rag_predictions.jsonl</t>
  </si>
  <si>
    <t>T23</t>
  </si>
  <si>
    <t>Run RAG k=1</t>
  </si>
  <si>
    <t>Log retrieved candidate/rank, final prediction, tokens and latency.</t>
  </si>
  <si>
    <t>rag_k1_predictions.jsonl</t>
  </si>
  <si>
    <t>T24</t>
  </si>
  <si>
    <t>Run RAG k=3</t>
  </si>
  <si>
    <t>Same settings; log candidates/ranks and final prediction.</t>
  </si>
  <si>
    <t>rag_k3_predictions.jsonl</t>
  </si>
  <si>
    <t>T25</t>
  </si>
  <si>
    <t>Run RAG k=5</t>
  </si>
  <si>
    <t>Primary mid-range condition; complete retrieval + generation logs.</t>
  </si>
  <si>
    <t>rag_k5_predictions.jsonl</t>
  </si>
  <si>
    <t>T26</t>
  </si>
  <si>
    <t>Run RAG k=10</t>
  </si>
  <si>
    <t>High-context condition for coverage vs noise/cost analysis.</t>
  </si>
  <si>
    <t>rag_k10_predictions.jsonl</t>
  </si>
  <si>
    <t>W6</t>
  </si>
  <si>
    <t>20–26 Oct 2026</t>
  </si>
  <si>
    <t>T27</t>
  </si>
  <si>
    <t>Compute end-to-end mapping metrics</t>
  </si>
  <si>
    <t>Exact Accuracy, Macro-F1, per-class P/R, invalid-ID rate for every condition.</t>
  </si>
  <si>
    <t>T22:T26</t>
  </si>
  <si>
    <t>Metrics tables</t>
  </si>
  <si>
    <t>T28</t>
  </si>
  <si>
    <t>Compute retrieval metrics + conditional accuracy</t>
  </si>
  <si>
    <t>Recall@1/3/5/10 and final accuracy conditioned on GT present/absent in retrieved set.</t>
  </si>
  <si>
    <t>T23:T26</t>
  </si>
  <si>
    <t>Retrieval/conditional metrics</t>
  </si>
  <si>
    <t>T29</t>
  </si>
  <si>
    <t>Decompose RAG failures</t>
  </si>
  <si>
    <t>Separate retrieval failure, LLM selection/generation failure, invalid IDs, ambiguous-evidence cases.</t>
  </si>
  <si>
    <t>T27;T28</t>
  </si>
  <si>
    <t>Error-analysis table</t>
  </si>
  <si>
    <t>T30</t>
  </si>
  <si>
    <t>Answer RQ1–RQ3</t>
  </si>
  <si>
    <t>RQ1 replication conclusion; RQ2 failure mechanism; RQ3 accuracy/cost trade-off.</t>
  </si>
  <si>
    <t>T27:T29</t>
  </si>
  <si>
    <t>RQ answer summary</t>
  </si>
  <si>
    <t>Report</t>
  </si>
  <si>
    <t>W7</t>
  </si>
  <si>
    <t>27 Oct–2 Nov 2026</t>
  </si>
  <si>
    <t>T31</t>
  </si>
  <si>
    <t>Write Methodology</t>
  </si>
  <si>
    <t>Explain teacher topic → narrowed scope; replication/extension; dataset/leakage; retrieval; controls; metrics.</t>
  </si>
  <si>
    <t>Methods draft</t>
  </si>
  <si>
    <t>T32</t>
  </si>
  <si>
    <t>Write Results &amp; Discussion</t>
  </si>
  <si>
    <t>Report whether replication succeeds/fails; explain retrieval vs LLM bottlenecks; no unsupported generalization.</t>
  </si>
  <si>
    <t>Results/Discussion draft</t>
  </si>
  <si>
    <t>T33</t>
  </si>
  <si>
    <t>Finalize Related Work / gap wording</t>
  </si>
  <si>
    <t>Do not claim RAG, Top-k, Sysmon-RAG or retrieval analysis is globally novel; position setting-specific extension.</t>
  </si>
  <si>
    <t>T02;T04</t>
  </si>
  <si>
    <t>Related Work section</t>
  </si>
  <si>
    <t>QA &amp; Submission</t>
  </si>
  <si>
    <t>W8</t>
  </si>
  <si>
    <t>3–9 Nov 2026</t>
  </si>
  <si>
    <t>T34</t>
  </si>
  <si>
    <t>Reproducibility QA</t>
  </si>
  <si>
    <t>Fresh subset run reproduces pipeline; versions/configs/sample IDs/results traceable.</t>
  </si>
  <si>
    <t>T31:T33</t>
  </si>
  <si>
    <t>QA checklist</t>
  </si>
  <si>
    <t>T35</t>
  </si>
  <si>
    <t>Prepare presentation/demo</t>
  </si>
  <si>
    <t>Teacher topic → literature → replication gap → design → RQs → results → limitations.</t>
  </si>
  <si>
    <t>T32;T33</t>
  </si>
  <si>
    <t>Presentation</t>
  </si>
  <si>
    <t>T36</t>
  </si>
  <si>
    <t>Final submission package</t>
  </si>
  <si>
    <t>Report, code, configs, prompts, references, results and allowed raw outputs reviewed.</t>
  </si>
  <si>
    <t>T34;T35</t>
  </si>
  <si>
    <t>Submission package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</si>
</sst>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5.0"/>
      <color rgb="FFFFFFFF"/>
      <name val="Carlito"/>
    </font>
    <font>
      <b/>
      <sz val="11.0"/>
      <color rgb="FFFFFFFF"/>
      <name val="Carlito"/>
    </font>
    <font>
      <b/>
      <sz val="10.0"/>
      <color theme="1"/>
      <name val="Arial"/>
    </font>
    <font>
      <sz val="11.0"/>
      <color theme="1"/>
      <name val="Carlito"/>
    </font>
    <font>
      <b/>
      <sz val="10.0"/>
      <color rgb="FF17365D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3" fontId="1" numFmtId="0" xfId="0" applyAlignment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horizontal="center"/>
    </xf>
    <xf borderId="0" fillId="3" fontId="4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6" numFmtId="9" xfId="0" applyAlignment="1" applyFont="1" applyNumberForma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readingOrder="0"/>
    </xf>
    <xf borderId="0" fillId="4" fontId="7" numFmtId="0" xfId="0" applyAlignment="1" applyFill="1" applyFont="1">
      <alignment shrinkToFit="0" wrapText="1"/>
    </xf>
    <xf borderId="0" fillId="3" fontId="1" numFmtId="0" xfId="0" applyAlignment="1" applyFill="1" applyFont="1">
      <alignment horizontal="center"/>
    </xf>
    <xf borderId="0" fillId="3" fontId="1" numFmtId="0" xfId="0" applyFill="1" applyFont="1"/>
    <xf borderId="0" fillId="0" fontId="2" numFmtId="9" xfId="0" applyFont="1" applyNumberFormat="1"/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385723"/>
      </font>
      <fill>
        <patternFill patternType="solid">
          <fgColor rgb="FFC6E0B4"/>
          <bgColor rgb="FFC6E0B4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9C0006"/>
      </font>
      <fill>
        <patternFill patternType="solid">
          <fgColor rgb="FFF4CCCC"/>
          <bgColor rgb="FFF4CCCC"/>
        </patternFill>
      </fill>
      <border/>
    </dxf>
  </dxfs>
  <tableStyles count="2">
    <tableStyle count="4" pivot="0" name="Roadm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ur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Overview!$D$4:$D$7</c:f>
            </c:strRef>
          </c:cat>
          <c:val>
            <c:numRef>
              <c:f>Overview!$E$4:$E$7</c:f>
              <c:numCache/>
            </c:numRef>
          </c:val>
        </c:ser>
        <c:axId val="1831891965"/>
        <c:axId val="530266546"/>
      </c:barChart>
      <c:catAx>
        <c:axId val="1831891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266546"/>
      </c:catAx>
      <c:valAx>
        <c:axId val="530266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89196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4400550" cy="57245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L38" displayName="RoadmapTable" name="RoadmapTable" id="1">
  <tableColumns count="12">
    <tableColumn name="Phase" id="1"/>
    <tableColumn name="Week" id="2"/>
    <tableColumn name="Date Range" id="3"/>
    <tableColumn name="Task ID" id="4"/>
    <tableColumn name="Task" id="5"/>
    <tableColumn name="Objective / Acceptance Criteria" id="6"/>
    <tableColumn name="Owner" id="7"/>
    <tableColumn name="Priority" id="8"/>
    <tableColumn name="Dependency" id="9"/>
    <tableColumn name="Deliverable" id="10"/>
    <tableColumn name="Status" id="11"/>
    <tableColumn name="Progress %" id="12"/>
  </tableColumns>
  <tableStyleInfo name="Roadmap-style" showColumnStripes="0" showFirstColumn="1" showLastColumn="1" showRowStripes="1"/>
</table>
</file>

<file path=xl/tables/table2.xml><?xml version="1.0" encoding="utf-8"?>
<table xmlns="http://schemas.openxmlformats.org/spreadsheetml/2006/main" ref="A2:H21" displayName="ResourcesTable" name="ResourcesTable" id="2">
  <tableColumns count="8">
    <tableColumn name="Category" id="1"/>
    <tableColumn name="Resource" id="2"/>
    <tableColumn name="Role" id="3"/>
    <tableColumn name="Reuse / Build" id="4"/>
    <tableColumn name="User Action" id="5"/>
    <tableColumn name="Priority" id="6"/>
    <tableColumn name="Source / DOI" id="7"/>
    <tableColumn name="Notes" id="8"/>
  </tableColumns>
  <tableStyleInfo name="Re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58.0"/>
    <col customWidth="1" min="3" max="3" width="10.0"/>
    <col customWidth="1" min="4" max="4" width="16.0"/>
    <col customWidth="1" min="5" max="5" width="14.0"/>
    <col customWidth="1" min="6" max="6" width="42.0"/>
    <col customWidth="1" min="7" max="8" width="3.0"/>
    <col customWidth="1" min="9" max="26" width="8.63"/>
  </cols>
  <sheetData>
    <row r="1" ht="30.0" customHeight="1">
      <c r="A1" s="13" t="s">
        <v>92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 t="s">
        <v>96</v>
      </c>
      <c r="B2" s="14" t="s">
        <v>97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6.0" customHeight="1">
      <c r="A3" s="15" t="s">
        <v>100</v>
      </c>
      <c r="B3" s="5" t="s">
        <v>102</v>
      </c>
      <c r="C3" s="2"/>
      <c r="D3" s="16" t="s">
        <v>53</v>
      </c>
      <c r="E3" s="16" t="s">
        <v>104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.0" customHeight="1">
      <c r="A4" s="15" t="s">
        <v>107</v>
      </c>
      <c r="B4" s="4" t="s">
        <v>109</v>
      </c>
      <c r="C4" s="2"/>
      <c r="D4" s="2" t="s">
        <v>110</v>
      </c>
      <c r="E4" s="2">
        <f>COUNTIF(Roadmap!$K$3:$K$38,D4)</f>
        <v>32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6.0" customHeight="1">
      <c r="A5" s="15" t="s">
        <v>127</v>
      </c>
      <c r="B5" s="4" t="s">
        <v>129</v>
      </c>
      <c r="C5" s="2"/>
      <c r="D5" s="2" t="s">
        <v>89</v>
      </c>
      <c r="E5" s="2">
        <f>COUNTIF(Roadmap!$K$3:$K$38,D5)</f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6.0" customHeight="1">
      <c r="A6" s="15" t="s">
        <v>133</v>
      </c>
      <c r="B6" s="4" t="s">
        <v>134</v>
      </c>
      <c r="C6" s="2"/>
      <c r="D6" s="2" t="s">
        <v>135</v>
      </c>
      <c r="E6" s="2">
        <f>COUNTIF(Roadmap!$K$3:$K$38,D6)</f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6.0" customHeight="1">
      <c r="A7" s="15" t="s">
        <v>138</v>
      </c>
      <c r="B7" s="4" t="s">
        <v>140</v>
      </c>
      <c r="C7" s="2"/>
      <c r="D7" s="2" t="s">
        <v>77</v>
      </c>
      <c r="E7" s="2">
        <f>COUNTIF(Roadmap!$K$3:$K$38,D7)</f>
        <v>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6.0" customHeight="1">
      <c r="A8" s="15" t="s">
        <v>145</v>
      </c>
      <c r="B8" s="4" t="s">
        <v>146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6.0" customHeight="1">
      <c r="A9" s="15" t="s">
        <v>148</v>
      </c>
      <c r="B9" s="4" t="s">
        <v>149</v>
      </c>
      <c r="C9" s="2"/>
      <c r="D9" s="17" t="s">
        <v>151</v>
      </c>
      <c r="E9" s="17" t="s">
        <v>152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 t="s">
        <v>155</v>
      </c>
      <c r="E10" s="2">
        <f>COUNTA(Roadmap!$D$3:$D$38)</f>
        <v>36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 t="s">
        <v>161</v>
      </c>
      <c r="E11" s="2">
        <f>COUNTIF(Roadmap!$K$3:$K$38,"Done")</f>
        <v>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 t="s">
        <v>169</v>
      </c>
      <c r="E12" s="18">
        <f>AVERAGE(Roadmap!$L$3:$L$38)</f>
        <v>0.09305555556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173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0" customHeight="1">
      <c r="A15" s="19" t="s">
        <v>10</v>
      </c>
      <c r="B15" s="5" t="s">
        <v>179</v>
      </c>
      <c r="C15" s="4" t="s">
        <v>49</v>
      </c>
      <c r="D15" s="4" t="s">
        <v>180</v>
      </c>
      <c r="E15" s="4" t="s">
        <v>7</v>
      </c>
      <c r="F15" s="4" t="s">
        <v>181</v>
      </c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0" customHeight="1">
      <c r="A16" s="19" t="s">
        <v>19</v>
      </c>
      <c r="B16" s="4" t="s">
        <v>20</v>
      </c>
      <c r="C16" s="4" t="s">
        <v>49</v>
      </c>
      <c r="D16" s="4" t="s">
        <v>186</v>
      </c>
      <c r="E16" s="4" t="s">
        <v>7</v>
      </c>
      <c r="F16" s="4" t="s">
        <v>187</v>
      </c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0" customHeight="1">
      <c r="A17" s="19" t="s">
        <v>28</v>
      </c>
      <c r="B17" s="4" t="s">
        <v>29</v>
      </c>
      <c r="C17" s="4" t="s">
        <v>49</v>
      </c>
      <c r="D17" s="4" t="s">
        <v>190</v>
      </c>
      <c r="E17" s="4" t="s">
        <v>6</v>
      </c>
      <c r="F17" s="4" t="s">
        <v>192</v>
      </c>
      <c r="G17" s="4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4:H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8.0"/>
    <col customWidth="1" min="3" max="3" width="18.0"/>
    <col customWidth="1" min="4" max="4" width="9.0"/>
    <col customWidth="1" min="5" max="5" width="28.0"/>
    <col customWidth="1" min="6" max="6" width="46.0"/>
    <col customWidth="1" min="7" max="8" width="11.0"/>
    <col customWidth="1" min="9" max="9" width="16.0"/>
    <col customWidth="1" min="10" max="10" width="28.0"/>
    <col customWidth="1" min="11" max="11" width="14.0"/>
    <col customWidth="1" min="12" max="12" width="12.0"/>
    <col customWidth="1" min="13" max="26" width="8.63"/>
  </cols>
  <sheetData>
    <row r="1">
      <c r="A1" s="6" t="s">
        <v>37</v>
      </c>
    </row>
    <row r="2" ht="27.75" customHeight="1">
      <c r="A2" s="7" t="s">
        <v>38</v>
      </c>
      <c r="B2" s="7" t="s">
        <v>40</v>
      </c>
      <c r="C2" s="7" t="s">
        <v>41</v>
      </c>
      <c r="D2" s="7" t="s">
        <v>43</v>
      </c>
      <c r="E2" s="7" t="s">
        <v>44</v>
      </c>
      <c r="F2" s="7" t="s">
        <v>45</v>
      </c>
      <c r="G2" s="7" t="s">
        <v>46</v>
      </c>
      <c r="H2" s="7" t="s">
        <v>48</v>
      </c>
      <c r="I2" s="7" t="s">
        <v>50</v>
      </c>
      <c r="J2" s="7" t="s">
        <v>52</v>
      </c>
      <c r="K2" s="7" t="s">
        <v>53</v>
      </c>
      <c r="L2" s="7" t="s">
        <v>57</v>
      </c>
    </row>
    <row r="3" ht="49.5" customHeight="1">
      <c r="A3" s="9" t="s">
        <v>58</v>
      </c>
      <c r="B3" s="9" t="s">
        <v>59</v>
      </c>
      <c r="C3" s="9" t="s">
        <v>61</v>
      </c>
      <c r="D3" s="9" t="s">
        <v>62</v>
      </c>
      <c r="E3" s="9" t="s">
        <v>64</v>
      </c>
      <c r="F3" s="9" t="s">
        <v>66</v>
      </c>
      <c r="G3" s="9" t="s">
        <v>71</v>
      </c>
      <c r="H3" s="9" t="s">
        <v>69</v>
      </c>
      <c r="I3" s="9" t="s">
        <v>73</v>
      </c>
      <c r="J3" s="9" t="s">
        <v>75</v>
      </c>
      <c r="K3" s="9" t="s">
        <v>77</v>
      </c>
      <c r="L3" s="11">
        <v>1.0</v>
      </c>
    </row>
    <row r="4" ht="49.5" customHeight="1">
      <c r="A4" s="9" t="s">
        <v>58</v>
      </c>
      <c r="B4" s="9" t="s">
        <v>59</v>
      </c>
      <c r="C4" s="9" t="s">
        <v>61</v>
      </c>
      <c r="D4" s="9" t="s">
        <v>81</v>
      </c>
      <c r="E4" s="9" t="s">
        <v>83</v>
      </c>
      <c r="F4" s="12" t="s">
        <v>84</v>
      </c>
      <c r="G4" s="9" t="s">
        <v>85</v>
      </c>
      <c r="H4" s="9" t="s">
        <v>86</v>
      </c>
      <c r="I4" s="9" t="s">
        <v>62</v>
      </c>
      <c r="J4" s="9" t="s">
        <v>87</v>
      </c>
      <c r="K4" s="9" t="s">
        <v>89</v>
      </c>
      <c r="L4" s="11">
        <v>0.35</v>
      </c>
    </row>
    <row r="5" ht="49.5" customHeight="1">
      <c r="A5" s="9" t="s">
        <v>58</v>
      </c>
      <c r="B5" s="9" t="s">
        <v>59</v>
      </c>
      <c r="C5" s="9" t="s">
        <v>61</v>
      </c>
      <c r="D5" s="9" t="s">
        <v>93</v>
      </c>
      <c r="E5" s="9" t="s">
        <v>94</v>
      </c>
      <c r="F5" s="9" t="s">
        <v>95</v>
      </c>
      <c r="G5" s="9" t="s">
        <v>71</v>
      </c>
      <c r="H5" s="9" t="s">
        <v>69</v>
      </c>
      <c r="I5" s="9" t="s">
        <v>62</v>
      </c>
      <c r="J5" s="9" t="s">
        <v>99</v>
      </c>
      <c r="K5" s="9" t="s">
        <v>77</v>
      </c>
      <c r="L5" s="11">
        <v>1.0</v>
      </c>
    </row>
    <row r="6" ht="49.5" customHeight="1">
      <c r="A6" s="9" t="s">
        <v>58</v>
      </c>
      <c r="B6" s="9" t="s">
        <v>59</v>
      </c>
      <c r="C6" s="9" t="s">
        <v>61</v>
      </c>
      <c r="D6" s="9" t="s">
        <v>105</v>
      </c>
      <c r="E6" s="9" t="s">
        <v>106</v>
      </c>
      <c r="F6" s="12" t="s">
        <v>108</v>
      </c>
      <c r="G6" s="9" t="s">
        <v>111</v>
      </c>
      <c r="H6" s="9" t="s">
        <v>86</v>
      </c>
      <c r="I6" s="12" t="s">
        <v>62</v>
      </c>
      <c r="J6" s="9" t="s">
        <v>112</v>
      </c>
      <c r="K6" s="9" t="s">
        <v>77</v>
      </c>
      <c r="L6" s="11">
        <v>1.0</v>
      </c>
    </row>
    <row r="7" ht="49.5" customHeight="1">
      <c r="A7" s="9" t="s">
        <v>115</v>
      </c>
      <c r="B7" s="9" t="s">
        <v>116</v>
      </c>
      <c r="C7" s="9" t="s">
        <v>118</v>
      </c>
      <c r="D7" s="9" t="s">
        <v>119</v>
      </c>
      <c r="E7" s="9" t="s">
        <v>120</v>
      </c>
      <c r="F7" s="9" t="s">
        <v>121</v>
      </c>
      <c r="G7" s="9" t="s">
        <v>71</v>
      </c>
      <c r="H7" s="9" t="s">
        <v>69</v>
      </c>
      <c r="I7" s="9" t="s">
        <v>93</v>
      </c>
      <c r="J7" s="9" t="s">
        <v>123</v>
      </c>
      <c r="K7" s="9" t="s">
        <v>110</v>
      </c>
      <c r="L7" s="11">
        <v>0.0</v>
      </c>
    </row>
    <row r="8" ht="49.5" customHeight="1">
      <c r="A8" s="9" t="s">
        <v>115</v>
      </c>
      <c r="B8" s="9" t="s">
        <v>116</v>
      </c>
      <c r="C8" s="9" t="s">
        <v>118</v>
      </c>
      <c r="D8" s="9" t="s">
        <v>126</v>
      </c>
      <c r="E8" s="9" t="s">
        <v>128</v>
      </c>
      <c r="F8" s="9" t="s">
        <v>130</v>
      </c>
      <c r="G8" s="9" t="s">
        <v>111</v>
      </c>
      <c r="H8" s="9" t="s">
        <v>69</v>
      </c>
      <c r="I8" s="9" t="s">
        <v>119</v>
      </c>
      <c r="J8" s="9" t="s">
        <v>131</v>
      </c>
      <c r="K8" s="9" t="s">
        <v>110</v>
      </c>
      <c r="L8" s="11">
        <v>0.0</v>
      </c>
    </row>
    <row r="9" ht="49.5" customHeight="1">
      <c r="A9" s="9" t="s">
        <v>115</v>
      </c>
      <c r="B9" s="9" t="s">
        <v>116</v>
      </c>
      <c r="C9" s="9" t="s">
        <v>118</v>
      </c>
      <c r="D9" s="9" t="s">
        <v>139</v>
      </c>
      <c r="E9" s="9" t="s">
        <v>141</v>
      </c>
      <c r="F9" s="9" t="s">
        <v>143</v>
      </c>
      <c r="G9" s="9" t="s">
        <v>85</v>
      </c>
      <c r="H9" s="9" t="s">
        <v>69</v>
      </c>
      <c r="I9" s="9" t="s">
        <v>126</v>
      </c>
      <c r="J9" s="9" t="s">
        <v>147</v>
      </c>
      <c r="K9" s="9" t="s">
        <v>110</v>
      </c>
      <c r="L9" s="11">
        <v>0.0</v>
      </c>
    </row>
    <row r="10" ht="49.5" customHeight="1">
      <c r="A10" s="9" t="s">
        <v>115</v>
      </c>
      <c r="B10" s="9" t="s">
        <v>116</v>
      </c>
      <c r="C10" s="9" t="s">
        <v>118</v>
      </c>
      <c r="D10" s="9" t="s">
        <v>154</v>
      </c>
      <c r="E10" s="9" t="s">
        <v>156</v>
      </c>
      <c r="F10" s="9" t="s">
        <v>157</v>
      </c>
      <c r="G10" s="9" t="s">
        <v>111</v>
      </c>
      <c r="H10" s="9" t="s">
        <v>69</v>
      </c>
      <c r="I10" s="9" t="s">
        <v>158</v>
      </c>
      <c r="J10" s="9" t="s">
        <v>160</v>
      </c>
      <c r="K10" s="9" t="s">
        <v>110</v>
      </c>
      <c r="L10" s="11">
        <v>0.0</v>
      </c>
    </row>
    <row r="11" ht="49.5" customHeight="1">
      <c r="A11" s="9" t="s">
        <v>115</v>
      </c>
      <c r="B11" s="9" t="s">
        <v>116</v>
      </c>
      <c r="C11" s="9" t="s">
        <v>118</v>
      </c>
      <c r="D11" s="9" t="s">
        <v>165</v>
      </c>
      <c r="E11" s="9" t="s">
        <v>167</v>
      </c>
      <c r="F11" s="9" t="s">
        <v>168</v>
      </c>
      <c r="G11" s="9" t="s">
        <v>71</v>
      </c>
      <c r="H11" s="9" t="s">
        <v>69</v>
      </c>
      <c r="I11" s="9" t="s">
        <v>154</v>
      </c>
      <c r="J11" s="9" t="s">
        <v>171</v>
      </c>
      <c r="K11" s="9" t="s">
        <v>110</v>
      </c>
      <c r="L11" s="11">
        <v>0.0</v>
      </c>
    </row>
    <row r="12" ht="49.5" customHeight="1">
      <c r="A12" s="9" t="s">
        <v>115</v>
      </c>
      <c r="B12" s="9" t="s">
        <v>116</v>
      </c>
      <c r="C12" s="9" t="s">
        <v>118</v>
      </c>
      <c r="D12" s="9" t="s">
        <v>175</v>
      </c>
      <c r="E12" s="9" t="s">
        <v>177</v>
      </c>
      <c r="F12" s="9" t="s">
        <v>178</v>
      </c>
      <c r="G12" s="9" t="s">
        <v>111</v>
      </c>
      <c r="H12" s="9" t="s">
        <v>86</v>
      </c>
      <c r="I12" s="9" t="s">
        <v>184</v>
      </c>
      <c r="J12" s="9" t="s">
        <v>185</v>
      </c>
      <c r="K12" s="9" t="s">
        <v>110</v>
      </c>
      <c r="L12" s="11">
        <v>0.0</v>
      </c>
    </row>
    <row r="13" ht="49.5" customHeight="1">
      <c r="A13" s="9" t="s">
        <v>189</v>
      </c>
      <c r="B13" s="9" t="s">
        <v>193</v>
      </c>
      <c r="C13" s="9" t="s">
        <v>195</v>
      </c>
      <c r="D13" s="9" t="s">
        <v>197</v>
      </c>
      <c r="E13" s="9" t="s">
        <v>199</v>
      </c>
      <c r="F13" s="9" t="s">
        <v>200</v>
      </c>
      <c r="G13" s="9" t="s">
        <v>85</v>
      </c>
      <c r="H13" s="9" t="s">
        <v>69</v>
      </c>
      <c r="I13" s="9" t="s">
        <v>93</v>
      </c>
      <c r="J13" s="9" t="s">
        <v>203</v>
      </c>
      <c r="K13" s="9" t="s">
        <v>110</v>
      </c>
      <c r="L13" s="11">
        <v>0.0</v>
      </c>
    </row>
    <row r="14" ht="49.5" customHeight="1">
      <c r="A14" s="9" t="s">
        <v>189</v>
      </c>
      <c r="B14" s="9" t="s">
        <v>193</v>
      </c>
      <c r="C14" s="9" t="s">
        <v>195</v>
      </c>
      <c r="D14" s="9" t="s">
        <v>207</v>
      </c>
      <c r="E14" s="9" t="s">
        <v>208</v>
      </c>
      <c r="F14" s="9" t="s">
        <v>210</v>
      </c>
      <c r="G14" s="9" t="s">
        <v>111</v>
      </c>
      <c r="H14" s="9" t="s">
        <v>86</v>
      </c>
      <c r="I14" s="9" t="s">
        <v>197</v>
      </c>
      <c r="J14" s="9" t="s">
        <v>214</v>
      </c>
      <c r="K14" s="9" t="s">
        <v>110</v>
      </c>
      <c r="L14" s="11">
        <v>0.0</v>
      </c>
    </row>
    <row r="15" ht="49.5" customHeight="1">
      <c r="A15" s="9" t="s">
        <v>189</v>
      </c>
      <c r="B15" s="9" t="s">
        <v>193</v>
      </c>
      <c r="C15" s="9" t="s">
        <v>195</v>
      </c>
      <c r="D15" s="9" t="s">
        <v>218</v>
      </c>
      <c r="E15" s="9" t="s">
        <v>219</v>
      </c>
      <c r="F15" s="9" t="s">
        <v>221</v>
      </c>
      <c r="G15" s="9" t="s">
        <v>71</v>
      </c>
      <c r="H15" s="9" t="s">
        <v>86</v>
      </c>
      <c r="I15" s="9" t="s">
        <v>207</v>
      </c>
      <c r="J15" s="9" t="s">
        <v>224</v>
      </c>
      <c r="K15" s="9" t="s">
        <v>110</v>
      </c>
      <c r="L15" s="11">
        <v>0.0</v>
      </c>
    </row>
    <row r="16" ht="49.5" customHeight="1">
      <c r="A16" s="9" t="s">
        <v>189</v>
      </c>
      <c r="B16" s="9" t="s">
        <v>193</v>
      </c>
      <c r="C16" s="9" t="s">
        <v>195</v>
      </c>
      <c r="D16" s="9" t="s">
        <v>226</v>
      </c>
      <c r="E16" s="9" t="s">
        <v>228</v>
      </c>
      <c r="F16" s="9" t="s">
        <v>229</v>
      </c>
      <c r="G16" s="9" t="s">
        <v>71</v>
      </c>
      <c r="H16" s="9" t="s">
        <v>231</v>
      </c>
      <c r="I16" s="9" t="s">
        <v>232</v>
      </c>
      <c r="J16" s="9" t="s">
        <v>234</v>
      </c>
      <c r="K16" s="9" t="s">
        <v>110</v>
      </c>
      <c r="L16" s="11">
        <v>0.0</v>
      </c>
    </row>
    <row r="17" ht="49.5" customHeight="1">
      <c r="A17" s="9" t="s">
        <v>189</v>
      </c>
      <c r="B17" s="9" t="s">
        <v>193</v>
      </c>
      <c r="C17" s="9" t="s">
        <v>195</v>
      </c>
      <c r="D17" s="9" t="s">
        <v>237</v>
      </c>
      <c r="E17" s="9" t="s">
        <v>239</v>
      </c>
      <c r="F17" s="9" t="s">
        <v>241</v>
      </c>
      <c r="G17" s="9" t="s">
        <v>85</v>
      </c>
      <c r="H17" s="9" t="s">
        <v>86</v>
      </c>
      <c r="I17" s="9" t="s">
        <v>245</v>
      </c>
      <c r="J17" s="9" t="s">
        <v>246</v>
      </c>
      <c r="K17" s="9" t="s">
        <v>110</v>
      </c>
      <c r="L17" s="11">
        <v>0.0</v>
      </c>
    </row>
    <row r="18" ht="49.5" customHeight="1">
      <c r="A18" s="9" t="s">
        <v>250</v>
      </c>
      <c r="B18" s="9" t="s">
        <v>252</v>
      </c>
      <c r="C18" s="9" t="s">
        <v>254</v>
      </c>
      <c r="D18" s="9" t="s">
        <v>255</v>
      </c>
      <c r="E18" s="9" t="s">
        <v>257</v>
      </c>
      <c r="F18" s="9" t="s">
        <v>259</v>
      </c>
      <c r="G18" s="9" t="s">
        <v>71</v>
      </c>
      <c r="H18" s="9" t="s">
        <v>69</v>
      </c>
      <c r="I18" s="9" t="s">
        <v>93</v>
      </c>
      <c r="J18" s="9" t="s">
        <v>262</v>
      </c>
      <c r="K18" s="9" t="s">
        <v>110</v>
      </c>
      <c r="L18" s="11">
        <v>0.0</v>
      </c>
    </row>
    <row r="19" ht="49.5" customHeight="1">
      <c r="A19" s="9" t="s">
        <v>250</v>
      </c>
      <c r="B19" s="9" t="s">
        <v>252</v>
      </c>
      <c r="C19" s="9" t="s">
        <v>254</v>
      </c>
      <c r="D19" s="9" t="s">
        <v>267</v>
      </c>
      <c r="E19" s="9" t="s">
        <v>269</v>
      </c>
      <c r="F19" s="9" t="s">
        <v>270</v>
      </c>
      <c r="G19" s="9" t="s">
        <v>111</v>
      </c>
      <c r="H19" s="9" t="s">
        <v>86</v>
      </c>
      <c r="I19" s="9" t="s">
        <v>255</v>
      </c>
      <c r="J19" s="9" t="s">
        <v>274</v>
      </c>
      <c r="K19" s="9" t="s">
        <v>110</v>
      </c>
      <c r="L19" s="11">
        <v>0.0</v>
      </c>
    </row>
    <row r="20" ht="49.5" customHeight="1">
      <c r="A20" s="9" t="s">
        <v>250</v>
      </c>
      <c r="B20" s="9" t="s">
        <v>252</v>
      </c>
      <c r="C20" s="9" t="s">
        <v>254</v>
      </c>
      <c r="D20" s="9" t="s">
        <v>278</v>
      </c>
      <c r="E20" s="9" t="s">
        <v>279</v>
      </c>
      <c r="F20" s="9" t="s">
        <v>281</v>
      </c>
      <c r="G20" s="9" t="s">
        <v>111</v>
      </c>
      <c r="H20" s="9" t="s">
        <v>86</v>
      </c>
      <c r="I20" s="9" t="s">
        <v>267</v>
      </c>
      <c r="J20" s="9" t="s">
        <v>283</v>
      </c>
      <c r="K20" s="9" t="s">
        <v>110</v>
      </c>
      <c r="L20" s="11">
        <v>0.0</v>
      </c>
    </row>
    <row r="21" ht="49.5" customHeight="1">
      <c r="A21" s="9" t="s">
        <v>250</v>
      </c>
      <c r="B21" s="9" t="s">
        <v>252</v>
      </c>
      <c r="C21" s="9" t="s">
        <v>254</v>
      </c>
      <c r="D21" s="9" t="s">
        <v>287</v>
      </c>
      <c r="E21" s="9" t="s">
        <v>288</v>
      </c>
      <c r="F21" s="9" t="s">
        <v>290</v>
      </c>
      <c r="G21" s="9" t="s">
        <v>111</v>
      </c>
      <c r="H21" s="9" t="s">
        <v>69</v>
      </c>
      <c r="I21" s="9" t="s">
        <v>292</v>
      </c>
      <c r="J21" s="9" t="s">
        <v>294</v>
      </c>
      <c r="K21" s="9" t="s">
        <v>110</v>
      </c>
      <c r="L21" s="11">
        <v>0.0</v>
      </c>
    </row>
    <row r="22" ht="49.5" customHeight="1">
      <c r="A22" s="9" t="s">
        <v>250</v>
      </c>
      <c r="B22" s="9" t="s">
        <v>252</v>
      </c>
      <c r="C22" s="9" t="s">
        <v>254</v>
      </c>
      <c r="D22" s="9" t="s">
        <v>297</v>
      </c>
      <c r="E22" s="9" t="s">
        <v>299</v>
      </c>
      <c r="F22" s="9" t="s">
        <v>300</v>
      </c>
      <c r="G22" s="9" t="s">
        <v>71</v>
      </c>
      <c r="H22" s="9" t="s">
        <v>69</v>
      </c>
      <c r="I22" s="9" t="s">
        <v>302</v>
      </c>
      <c r="J22" s="9" t="s">
        <v>303</v>
      </c>
      <c r="K22" s="9" t="s">
        <v>110</v>
      </c>
      <c r="L22" s="11">
        <v>0.0</v>
      </c>
    </row>
    <row r="23" ht="49.5" customHeight="1">
      <c r="A23" s="9" t="s">
        <v>306</v>
      </c>
      <c r="B23" s="9" t="s">
        <v>307</v>
      </c>
      <c r="C23" s="9" t="s">
        <v>308</v>
      </c>
      <c r="D23" s="9" t="s">
        <v>309</v>
      </c>
      <c r="E23" s="9" t="s">
        <v>310</v>
      </c>
      <c r="F23" s="9" t="s">
        <v>311</v>
      </c>
      <c r="G23" s="9" t="s">
        <v>85</v>
      </c>
      <c r="H23" s="9" t="s">
        <v>69</v>
      </c>
      <c r="I23" s="9" t="s">
        <v>312</v>
      </c>
      <c r="J23" s="9" t="s">
        <v>313</v>
      </c>
      <c r="K23" s="9" t="s">
        <v>110</v>
      </c>
      <c r="L23" s="11">
        <v>0.0</v>
      </c>
    </row>
    <row r="24" ht="49.5" customHeight="1">
      <c r="A24" s="9" t="s">
        <v>306</v>
      </c>
      <c r="B24" s="9" t="s">
        <v>307</v>
      </c>
      <c r="C24" s="9" t="s">
        <v>308</v>
      </c>
      <c r="D24" s="9" t="s">
        <v>314</v>
      </c>
      <c r="E24" s="9" t="s">
        <v>315</v>
      </c>
      <c r="F24" s="9" t="s">
        <v>316</v>
      </c>
      <c r="G24" s="9" t="s">
        <v>85</v>
      </c>
      <c r="H24" s="9" t="s">
        <v>69</v>
      </c>
      <c r="I24" s="9" t="s">
        <v>309</v>
      </c>
      <c r="J24" s="9" t="s">
        <v>317</v>
      </c>
      <c r="K24" s="9" t="s">
        <v>110</v>
      </c>
      <c r="L24" s="11">
        <v>0.0</v>
      </c>
    </row>
    <row r="25" ht="49.5" customHeight="1">
      <c r="A25" s="9" t="s">
        <v>306</v>
      </c>
      <c r="B25" s="9" t="s">
        <v>307</v>
      </c>
      <c r="C25" s="9" t="s">
        <v>308</v>
      </c>
      <c r="D25" s="9" t="s">
        <v>318</v>
      </c>
      <c r="E25" s="9" t="s">
        <v>319</v>
      </c>
      <c r="F25" s="9" t="s">
        <v>320</v>
      </c>
      <c r="G25" s="9" t="s">
        <v>85</v>
      </c>
      <c r="H25" s="9" t="s">
        <v>86</v>
      </c>
      <c r="I25" s="9" t="s">
        <v>309</v>
      </c>
      <c r="J25" s="9" t="s">
        <v>321</v>
      </c>
      <c r="K25" s="9" t="s">
        <v>110</v>
      </c>
      <c r="L25" s="11">
        <v>0.0</v>
      </c>
    </row>
    <row r="26" ht="49.5" customHeight="1">
      <c r="A26" s="9" t="s">
        <v>306</v>
      </c>
      <c r="B26" s="9" t="s">
        <v>307</v>
      </c>
      <c r="C26" s="9" t="s">
        <v>308</v>
      </c>
      <c r="D26" s="9" t="s">
        <v>322</v>
      </c>
      <c r="E26" s="9" t="s">
        <v>323</v>
      </c>
      <c r="F26" s="9" t="s">
        <v>324</v>
      </c>
      <c r="G26" s="9" t="s">
        <v>85</v>
      </c>
      <c r="H26" s="9" t="s">
        <v>86</v>
      </c>
      <c r="I26" s="9" t="s">
        <v>309</v>
      </c>
      <c r="J26" s="9" t="s">
        <v>325</v>
      </c>
      <c r="K26" s="9" t="s">
        <v>110</v>
      </c>
      <c r="L26" s="11">
        <v>0.0</v>
      </c>
    </row>
    <row r="27" ht="49.5" customHeight="1">
      <c r="A27" s="9" t="s">
        <v>306</v>
      </c>
      <c r="B27" s="9" t="s">
        <v>307</v>
      </c>
      <c r="C27" s="9" t="s">
        <v>308</v>
      </c>
      <c r="D27" s="9" t="s">
        <v>326</v>
      </c>
      <c r="E27" s="9" t="s">
        <v>327</v>
      </c>
      <c r="F27" s="9" t="s">
        <v>328</v>
      </c>
      <c r="G27" s="9" t="s">
        <v>85</v>
      </c>
      <c r="H27" s="9" t="s">
        <v>69</v>
      </c>
      <c r="I27" s="9" t="s">
        <v>309</v>
      </c>
      <c r="J27" s="9" t="s">
        <v>329</v>
      </c>
      <c r="K27" s="9" t="s">
        <v>110</v>
      </c>
      <c r="L27" s="11">
        <v>0.0</v>
      </c>
    </row>
    <row r="28" ht="49.5" customHeight="1">
      <c r="A28" s="9" t="s">
        <v>306</v>
      </c>
      <c r="B28" s="9" t="s">
        <v>307</v>
      </c>
      <c r="C28" s="9" t="s">
        <v>308</v>
      </c>
      <c r="D28" s="9" t="s">
        <v>330</v>
      </c>
      <c r="E28" s="9" t="s">
        <v>331</v>
      </c>
      <c r="F28" s="9" t="s">
        <v>332</v>
      </c>
      <c r="G28" s="9" t="s">
        <v>85</v>
      </c>
      <c r="H28" s="9" t="s">
        <v>231</v>
      </c>
      <c r="I28" s="9" t="s">
        <v>309</v>
      </c>
      <c r="J28" s="9" t="s">
        <v>333</v>
      </c>
      <c r="K28" s="9" t="s">
        <v>110</v>
      </c>
      <c r="L28" s="11">
        <v>0.0</v>
      </c>
    </row>
    <row r="29" ht="49.5" customHeight="1">
      <c r="A29" s="9" t="s">
        <v>132</v>
      </c>
      <c r="B29" s="9" t="s">
        <v>334</v>
      </c>
      <c r="C29" s="9" t="s">
        <v>335</v>
      </c>
      <c r="D29" s="9" t="s">
        <v>336</v>
      </c>
      <c r="E29" s="9" t="s">
        <v>337</v>
      </c>
      <c r="F29" s="9" t="s">
        <v>338</v>
      </c>
      <c r="G29" s="9" t="s">
        <v>111</v>
      </c>
      <c r="H29" s="9" t="s">
        <v>69</v>
      </c>
      <c r="I29" s="9" t="s">
        <v>339</v>
      </c>
      <c r="J29" s="9" t="s">
        <v>340</v>
      </c>
      <c r="K29" s="9" t="s">
        <v>110</v>
      </c>
      <c r="L29" s="11">
        <v>0.0</v>
      </c>
    </row>
    <row r="30" ht="49.5" customHeight="1">
      <c r="A30" s="9" t="s">
        <v>132</v>
      </c>
      <c r="B30" s="9" t="s">
        <v>334</v>
      </c>
      <c r="C30" s="9" t="s">
        <v>335</v>
      </c>
      <c r="D30" s="9" t="s">
        <v>341</v>
      </c>
      <c r="E30" s="9" t="s">
        <v>342</v>
      </c>
      <c r="F30" s="9" t="s">
        <v>343</v>
      </c>
      <c r="G30" s="9" t="s">
        <v>111</v>
      </c>
      <c r="H30" s="9" t="s">
        <v>69</v>
      </c>
      <c r="I30" s="9" t="s">
        <v>344</v>
      </c>
      <c r="J30" s="9" t="s">
        <v>345</v>
      </c>
      <c r="K30" s="9" t="s">
        <v>110</v>
      </c>
      <c r="L30" s="11">
        <v>0.0</v>
      </c>
    </row>
    <row r="31" ht="49.5" customHeight="1">
      <c r="A31" s="9" t="s">
        <v>132</v>
      </c>
      <c r="B31" s="9" t="s">
        <v>334</v>
      </c>
      <c r="C31" s="9" t="s">
        <v>335</v>
      </c>
      <c r="D31" s="9" t="s">
        <v>346</v>
      </c>
      <c r="E31" s="9" t="s">
        <v>347</v>
      </c>
      <c r="F31" s="9" t="s">
        <v>348</v>
      </c>
      <c r="G31" s="9" t="s">
        <v>71</v>
      </c>
      <c r="H31" s="9" t="s">
        <v>69</v>
      </c>
      <c r="I31" s="9" t="s">
        <v>349</v>
      </c>
      <c r="J31" s="9" t="s">
        <v>350</v>
      </c>
      <c r="K31" s="9" t="s">
        <v>110</v>
      </c>
      <c r="L31" s="11">
        <v>0.0</v>
      </c>
    </row>
    <row r="32" ht="49.5" customHeight="1">
      <c r="A32" s="9" t="s">
        <v>132</v>
      </c>
      <c r="B32" s="9" t="s">
        <v>334</v>
      </c>
      <c r="C32" s="9" t="s">
        <v>335</v>
      </c>
      <c r="D32" s="9" t="s">
        <v>351</v>
      </c>
      <c r="E32" s="9" t="s">
        <v>352</v>
      </c>
      <c r="F32" s="9" t="s">
        <v>353</v>
      </c>
      <c r="G32" s="9" t="s">
        <v>71</v>
      </c>
      <c r="H32" s="9" t="s">
        <v>69</v>
      </c>
      <c r="I32" s="9" t="s">
        <v>354</v>
      </c>
      <c r="J32" s="9" t="s">
        <v>355</v>
      </c>
      <c r="K32" s="9" t="s">
        <v>110</v>
      </c>
      <c r="L32" s="11">
        <v>0.0</v>
      </c>
    </row>
    <row r="33" ht="49.5" customHeight="1">
      <c r="A33" s="9" t="s">
        <v>356</v>
      </c>
      <c r="B33" s="9" t="s">
        <v>357</v>
      </c>
      <c r="C33" s="9" t="s">
        <v>358</v>
      </c>
      <c r="D33" s="9" t="s">
        <v>359</v>
      </c>
      <c r="E33" s="9" t="s">
        <v>360</v>
      </c>
      <c r="F33" s="9" t="s">
        <v>361</v>
      </c>
      <c r="G33" s="9" t="s">
        <v>71</v>
      </c>
      <c r="H33" s="9" t="s">
        <v>86</v>
      </c>
      <c r="I33" s="9" t="s">
        <v>351</v>
      </c>
      <c r="J33" s="9" t="s">
        <v>362</v>
      </c>
      <c r="K33" s="9" t="s">
        <v>110</v>
      </c>
      <c r="L33" s="11">
        <v>0.0</v>
      </c>
    </row>
    <row r="34" ht="49.5" customHeight="1">
      <c r="A34" s="9" t="s">
        <v>356</v>
      </c>
      <c r="B34" s="9" t="s">
        <v>357</v>
      </c>
      <c r="C34" s="9" t="s">
        <v>358</v>
      </c>
      <c r="D34" s="9" t="s">
        <v>363</v>
      </c>
      <c r="E34" s="9" t="s">
        <v>364</v>
      </c>
      <c r="F34" s="9" t="s">
        <v>365</v>
      </c>
      <c r="G34" s="9" t="s">
        <v>71</v>
      </c>
      <c r="H34" s="9" t="s">
        <v>69</v>
      </c>
      <c r="I34" s="9" t="s">
        <v>351</v>
      </c>
      <c r="J34" s="9" t="s">
        <v>366</v>
      </c>
      <c r="K34" s="9" t="s">
        <v>110</v>
      </c>
      <c r="L34" s="11">
        <v>0.0</v>
      </c>
    </row>
    <row r="35" ht="49.5" customHeight="1">
      <c r="A35" s="9" t="s">
        <v>356</v>
      </c>
      <c r="B35" s="9" t="s">
        <v>357</v>
      </c>
      <c r="C35" s="9" t="s">
        <v>358</v>
      </c>
      <c r="D35" s="9" t="s">
        <v>367</v>
      </c>
      <c r="E35" s="9" t="s">
        <v>368</v>
      </c>
      <c r="F35" s="9" t="s">
        <v>369</v>
      </c>
      <c r="G35" s="9" t="s">
        <v>71</v>
      </c>
      <c r="H35" s="9" t="s">
        <v>69</v>
      </c>
      <c r="I35" s="9" t="s">
        <v>370</v>
      </c>
      <c r="J35" s="9" t="s">
        <v>371</v>
      </c>
      <c r="K35" s="9" t="s">
        <v>110</v>
      </c>
      <c r="L35" s="11">
        <v>0.0</v>
      </c>
    </row>
    <row r="36" ht="49.5" customHeight="1">
      <c r="A36" s="9" t="s">
        <v>372</v>
      </c>
      <c r="B36" s="9" t="s">
        <v>373</v>
      </c>
      <c r="C36" s="9" t="s">
        <v>374</v>
      </c>
      <c r="D36" s="9" t="s">
        <v>375</v>
      </c>
      <c r="E36" s="9" t="s">
        <v>376</v>
      </c>
      <c r="F36" s="9" t="s">
        <v>377</v>
      </c>
      <c r="G36" s="9" t="s">
        <v>85</v>
      </c>
      <c r="H36" s="9" t="s">
        <v>86</v>
      </c>
      <c r="I36" s="9" t="s">
        <v>378</v>
      </c>
      <c r="J36" s="9" t="s">
        <v>379</v>
      </c>
      <c r="K36" s="9" t="s">
        <v>110</v>
      </c>
      <c r="L36" s="11">
        <v>0.0</v>
      </c>
    </row>
    <row r="37" ht="49.5" customHeight="1">
      <c r="A37" s="9" t="s">
        <v>372</v>
      </c>
      <c r="B37" s="9" t="s">
        <v>373</v>
      </c>
      <c r="C37" s="9" t="s">
        <v>374</v>
      </c>
      <c r="D37" s="9" t="s">
        <v>380</v>
      </c>
      <c r="E37" s="9" t="s">
        <v>381</v>
      </c>
      <c r="F37" s="9" t="s">
        <v>382</v>
      </c>
      <c r="G37" s="9" t="s">
        <v>71</v>
      </c>
      <c r="H37" s="9" t="s">
        <v>86</v>
      </c>
      <c r="I37" s="9" t="s">
        <v>383</v>
      </c>
      <c r="J37" s="9" t="s">
        <v>384</v>
      </c>
      <c r="K37" s="9" t="s">
        <v>110</v>
      </c>
      <c r="L37" s="11">
        <v>0.0</v>
      </c>
    </row>
    <row r="38" ht="49.5" customHeight="1">
      <c r="A38" s="9" t="s">
        <v>372</v>
      </c>
      <c r="B38" s="9" t="s">
        <v>373</v>
      </c>
      <c r="C38" s="9" t="s">
        <v>374</v>
      </c>
      <c r="D38" s="9" t="s">
        <v>385</v>
      </c>
      <c r="E38" s="9" t="s">
        <v>386</v>
      </c>
      <c r="F38" s="9" t="s">
        <v>387</v>
      </c>
      <c r="G38" s="9" t="s">
        <v>85</v>
      </c>
      <c r="H38" s="9" t="s">
        <v>69</v>
      </c>
      <c r="I38" s="9" t="s">
        <v>388</v>
      </c>
      <c r="J38" s="9" t="s">
        <v>389</v>
      </c>
      <c r="K38" s="9" t="s">
        <v>110</v>
      </c>
      <c r="L38" s="11">
        <v>0.0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conditionalFormatting sqref="K3:K38">
    <cfRule type="expression" dxfId="5" priority="1">
      <formula>K3="Done"</formula>
    </cfRule>
  </conditionalFormatting>
  <conditionalFormatting sqref="K3:K38">
    <cfRule type="expression" dxfId="6" priority="2">
      <formula>K3="In Progress"</formula>
    </cfRule>
  </conditionalFormatting>
  <conditionalFormatting sqref="K3:K38">
    <cfRule type="expression" dxfId="7" priority="3">
      <formula>K3="Blocked"</formula>
    </cfRule>
  </conditionalFormatting>
  <dataValidations>
    <dataValidation type="list" allowBlank="1" sqref="G3:G38">
      <formula1>"User,AI,Shared"</formula1>
    </dataValidation>
    <dataValidation type="list" allowBlank="1" sqref="K3:K38">
      <formula1>"Not Started,In Progress,Blocked,Done"</formula1>
    </dataValidation>
    <dataValidation type="list" allowBlank="1" sqref="H3:H38">
      <formula1>"Critical,High,Medium,Low"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2.0"/>
    <col customWidth="1" min="3" max="3" width="32.0"/>
    <col customWidth="1" min="4" max="5" width="22.0"/>
    <col customWidth="1" min="6" max="6" width="30.0"/>
    <col customWidth="1" min="7" max="7" width="28.0"/>
    <col customWidth="1" min="8" max="9" width="32.0"/>
    <col customWidth="1" min="10" max="26" width="8.63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05.0" customHeight="1">
      <c r="A3" s="4" t="s">
        <v>10</v>
      </c>
      <c r="B3" s="5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5.0" customHeight="1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05.0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8.0"/>
    <col customWidth="1" min="3" max="3" width="38.0"/>
    <col customWidth="1" min="4" max="4" width="14.0"/>
    <col customWidth="1" min="5" max="5" width="32.0"/>
    <col customWidth="1" min="6" max="6" width="12.0"/>
    <col customWidth="1" min="7" max="7" width="44.0"/>
    <col customWidth="1" min="8" max="8" width="38.0"/>
    <col customWidth="1" min="9" max="26" width="8.63"/>
  </cols>
  <sheetData>
    <row r="1">
      <c r="A1" s="1" t="s">
        <v>39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42</v>
      </c>
      <c r="B2" s="8" t="s">
        <v>47</v>
      </c>
      <c r="C2" s="8" t="s">
        <v>49</v>
      </c>
      <c r="D2" s="8" t="s">
        <v>51</v>
      </c>
      <c r="E2" s="8" t="s">
        <v>54</v>
      </c>
      <c r="F2" s="8" t="s">
        <v>48</v>
      </c>
      <c r="G2" s="8" t="s">
        <v>55</v>
      </c>
      <c r="H2" s="8" t="s">
        <v>56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.75" customHeight="1">
      <c r="A3" s="10" t="s">
        <v>60</v>
      </c>
      <c r="B3" s="10" t="s">
        <v>63</v>
      </c>
      <c r="C3" s="10" t="s">
        <v>65</v>
      </c>
      <c r="D3" s="10" t="s">
        <v>67</v>
      </c>
      <c r="E3" s="10" t="s">
        <v>68</v>
      </c>
      <c r="F3" s="10" t="s">
        <v>69</v>
      </c>
      <c r="G3" s="10" t="s">
        <v>70</v>
      </c>
      <c r="H3" s="10" t="s">
        <v>72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10" t="s">
        <v>74</v>
      </c>
      <c r="B4" s="10" t="s">
        <v>76</v>
      </c>
      <c r="C4" s="10" t="s">
        <v>78</v>
      </c>
      <c r="D4" s="10" t="s">
        <v>67</v>
      </c>
      <c r="E4" s="10" t="s">
        <v>79</v>
      </c>
      <c r="F4" s="10" t="s">
        <v>69</v>
      </c>
      <c r="G4" s="10" t="s">
        <v>80</v>
      </c>
      <c r="H4" s="10" t="s">
        <v>82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7.75" customHeight="1">
      <c r="A5" s="10" t="s">
        <v>88</v>
      </c>
      <c r="B5" s="10" t="s">
        <v>90</v>
      </c>
      <c r="C5" s="10" t="s">
        <v>91</v>
      </c>
      <c r="D5" s="10" t="s">
        <v>67</v>
      </c>
      <c r="E5" s="10" t="s">
        <v>98</v>
      </c>
      <c r="F5" s="10" t="s">
        <v>69</v>
      </c>
      <c r="G5" s="10" t="s">
        <v>101</v>
      </c>
      <c r="H5" s="10" t="s">
        <v>103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7.75" customHeight="1">
      <c r="A6" s="10" t="s">
        <v>113</v>
      </c>
      <c r="B6" s="10" t="s">
        <v>114</v>
      </c>
      <c r="C6" s="10" t="s">
        <v>117</v>
      </c>
      <c r="D6" s="10" t="s">
        <v>67</v>
      </c>
      <c r="E6" s="10" t="s">
        <v>122</v>
      </c>
      <c r="F6" s="10" t="s">
        <v>86</v>
      </c>
      <c r="G6" s="10" t="s">
        <v>124</v>
      </c>
      <c r="H6" s="10" t="s">
        <v>125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7.75" customHeight="1">
      <c r="A7" s="10" t="s">
        <v>132</v>
      </c>
      <c r="B7" s="10" t="s">
        <v>136</v>
      </c>
      <c r="C7" s="10" t="s">
        <v>137</v>
      </c>
      <c r="D7" s="10" t="s">
        <v>142</v>
      </c>
      <c r="E7" s="10" t="s">
        <v>144</v>
      </c>
      <c r="F7" s="10" t="s">
        <v>86</v>
      </c>
      <c r="G7" s="10" t="s">
        <v>150</v>
      </c>
      <c r="H7" s="10" t="s">
        <v>153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7.75" customHeight="1">
      <c r="A8" s="10" t="s">
        <v>159</v>
      </c>
      <c r="B8" s="10" t="s">
        <v>162</v>
      </c>
      <c r="C8" s="10" t="s">
        <v>163</v>
      </c>
      <c r="D8" s="10" t="s">
        <v>164</v>
      </c>
      <c r="E8" s="10" t="s">
        <v>166</v>
      </c>
      <c r="F8" s="10" t="s">
        <v>69</v>
      </c>
      <c r="G8" s="10" t="s">
        <v>170</v>
      </c>
      <c r="H8" s="10" t="s">
        <v>172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7.75" customHeight="1">
      <c r="A9" s="10" t="s">
        <v>159</v>
      </c>
      <c r="B9" s="10" t="s">
        <v>174</v>
      </c>
      <c r="C9" s="10" t="s">
        <v>176</v>
      </c>
      <c r="D9" s="10" t="s">
        <v>164</v>
      </c>
      <c r="E9" s="10" t="s">
        <v>166</v>
      </c>
      <c r="F9" s="10" t="s">
        <v>69</v>
      </c>
      <c r="G9" s="10" t="s">
        <v>182</v>
      </c>
      <c r="H9" s="10" t="s">
        <v>183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7.75" customHeight="1">
      <c r="A10" s="10" t="s">
        <v>159</v>
      </c>
      <c r="B10" s="10" t="s">
        <v>188</v>
      </c>
      <c r="C10" s="10" t="s">
        <v>191</v>
      </c>
      <c r="D10" s="10" t="s">
        <v>164</v>
      </c>
      <c r="E10" s="10" t="s">
        <v>194</v>
      </c>
      <c r="F10" s="10" t="s">
        <v>86</v>
      </c>
      <c r="G10" s="10" t="s">
        <v>196</v>
      </c>
      <c r="H10" s="10" t="s">
        <v>198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7.75" customHeight="1">
      <c r="A11" s="10" t="s">
        <v>159</v>
      </c>
      <c r="B11" s="10" t="s">
        <v>201</v>
      </c>
      <c r="C11" s="10" t="s">
        <v>202</v>
      </c>
      <c r="D11" s="10" t="s">
        <v>164</v>
      </c>
      <c r="E11" s="10" t="s">
        <v>204</v>
      </c>
      <c r="F11" s="10" t="s">
        <v>86</v>
      </c>
      <c r="G11" s="10" t="s">
        <v>205</v>
      </c>
      <c r="H11" s="10" t="s">
        <v>206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7.75" customHeight="1">
      <c r="A12" s="10" t="s">
        <v>159</v>
      </c>
      <c r="B12" s="10" t="s">
        <v>209</v>
      </c>
      <c r="C12" s="10" t="s">
        <v>211</v>
      </c>
      <c r="D12" s="10" t="s">
        <v>164</v>
      </c>
      <c r="E12" s="10" t="s">
        <v>212</v>
      </c>
      <c r="F12" s="10" t="s">
        <v>86</v>
      </c>
      <c r="G12" s="10" t="s">
        <v>213</v>
      </c>
      <c r="H12" s="10" t="s">
        <v>215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7.75" customHeight="1">
      <c r="A13" s="10" t="s">
        <v>159</v>
      </c>
      <c r="B13" s="10" t="s">
        <v>216</v>
      </c>
      <c r="C13" s="10" t="s">
        <v>217</v>
      </c>
      <c r="D13" s="10" t="s">
        <v>164</v>
      </c>
      <c r="E13" s="10" t="s">
        <v>220</v>
      </c>
      <c r="F13" s="10" t="s">
        <v>69</v>
      </c>
      <c r="G13" s="10" t="s">
        <v>222</v>
      </c>
      <c r="H13" s="10" t="s">
        <v>223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7.75" customHeight="1">
      <c r="A14" s="10" t="s">
        <v>159</v>
      </c>
      <c r="B14" s="10" t="s">
        <v>225</v>
      </c>
      <c r="C14" s="10" t="s">
        <v>227</v>
      </c>
      <c r="D14" s="10" t="s">
        <v>164</v>
      </c>
      <c r="E14" s="10" t="s">
        <v>230</v>
      </c>
      <c r="F14" s="10" t="s">
        <v>86</v>
      </c>
      <c r="G14" s="10" t="s">
        <v>233</v>
      </c>
      <c r="H14" s="10" t="s">
        <v>235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7.75" customHeight="1">
      <c r="A15" s="10" t="s">
        <v>236</v>
      </c>
      <c r="B15" s="10" t="s">
        <v>238</v>
      </c>
      <c r="C15" s="10" t="s">
        <v>240</v>
      </c>
      <c r="D15" s="10" t="s">
        <v>164</v>
      </c>
      <c r="E15" s="10" t="s">
        <v>242</v>
      </c>
      <c r="F15" s="10" t="s">
        <v>86</v>
      </c>
      <c r="G15" s="10" t="s">
        <v>243</v>
      </c>
      <c r="H15" s="10" t="s">
        <v>244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7.75" customHeight="1">
      <c r="A16" s="10" t="s">
        <v>247</v>
      </c>
      <c r="B16" s="10" t="s">
        <v>248</v>
      </c>
      <c r="C16" s="10" t="s">
        <v>249</v>
      </c>
      <c r="D16" s="10" t="s">
        <v>251</v>
      </c>
      <c r="E16" s="10" t="s">
        <v>253</v>
      </c>
      <c r="F16" s="10" t="s">
        <v>69</v>
      </c>
      <c r="G16" s="10" t="s">
        <v>256</v>
      </c>
      <c r="H16" s="10" t="s">
        <v>258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4.0" customHeight="1">
      <c r="A17" s="10" t="s">
        <v>159</v>
      </c>
      <c r="B17" s="10" t="s">
        <v>260</v>
      </c>
      <c r="C17" s="10" t="s">
        <v>261</v>
      </c>
      <c r="D17" s="10" t="s">
        <v>164</v>
      </c>
      <c r="E17" s="10" t="s">
        <v>263</v>
      </c>
      <c r="F17" s="10" t="s">
        <v>86</v>
      </c>
      <c r="G17" s="10" t="s">
        <v>264</v>
      </c>
      <c r="H17" s="10" t="s">
        <v>265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4.0" customHeight="1">
      <c r="A18" s="10" t="s">
        <v>266</v>
      </c>
      <c r="B18" s="10" t="s">
        <v>268</v>
      </c>
      <c r="C18" s="10" t="s">
        <v>271</v>
      </c>
      <c r="D18" s="10" t="s">
        <v>272</v>
      </c>
      <c r="E18" s="10" t="s">
        <v>273</v>
      </c>
      <c r="F18" s="10" t="s">
        <v>69</v>
      </c>
      <c r="G18" s="10" t="s">
        <v>182</v>
      </c>
      <c r="H18" s="10" t="s">
        <v>275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4.0" customHeight="1">
      <c r="A19" s="10" t="s">
        <v>266</v>
      </c>
      <c r="B19" s="10" t="s">
        <v>276</v>
      </c>
      <c r="C19" s="10" t="s">
        <v>277</v>
      </c>
      <c r="D19" s="10" t="s">
        <v>272</v>
      </c>
      <c r="E19" s="10" t="s">
        <v>280</v>
      </c>
      <c r="F19" s="10" t="s">
        <v>69</v>
      </c>
      <c r="G19" s="10" t="s">
        <v>170</v>
      </c>
      <c r="H19" s="10" t="s">
        <v>282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4.0" customHeight="1">
      <c r="A20" s="10" t="s">
        <v>284</v>
      </c>
      <c r="B20" s="10" t="s">
        <v>285</v>
      </c>
      <c r="C20" s="10" t="s">
        <v>286</v>
      </c>
      <c r="D20" s="10" t="s">
        <v>272</v>
      </c>
      <c r="E20" s="10" t="s">
        <v>289</v>
      </c>
      <c r="F20" s="10" t="s">
        <v>69</v>
      </c>
      <c r="G20" s="10" t="s">
        <v>291</v>
      </c>
      <c r="H20" s="10" t="s">
        <v>293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4.0" customHeight="1">
      <c r="A21" s="10" t="s">
        <v>295</v>
      </c>
      <c r="B21" s="10" t="s">
        <v>296</v>
      </c>
      <c r="C21" s="10" t="s">
        <v>298</v>
      </c>
      <c r="D21" s="10" t="s">
        <v>272</v>
      </c>
      <c r="E21" s="10" t="s">
        <v>301</v>
      </c>
      <c r="F21" s="10" t="s">
        <v>86</v>
      </c>
      <c r="G21" s="10" t="s">
        <v>304</v>
      </c>
      <c r="H21" s="10" t="s">
        <v>305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